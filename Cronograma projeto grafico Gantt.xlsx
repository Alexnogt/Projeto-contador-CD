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xr:revisionPtr revIDLastSave="0" documentId="13_ncr:1_{F9A603F7-0A10-44A2-806A-828BFC40512F}" xr6:coauthVersionLast="47" xr6:coauthVersionMax="47" xr10:uidLastSave="{00000000-0000-0000-0000-000000000000}"/>
  <bookViews>
    <workbookView xWindow="-120" yWindow="-120" windowWidth="20730" windowHeight="11160" xr2:uid="{00000000-000D-0000-FFFF-FFFF00000000}"/>
  </bookViews>
  <sheets>
    <sheet name="CronogramaDeProjeto" sheetId="11" r:id="rId1"/>
    <sheet name="Sobre" sheetId="12" r:id="rId2"/>
  </sheets>
  <definedNames>
    <definedName name="hoje" localSheetId="0">TODAY()</definedName>
    <definedName name="início_da_tarefa" localSheetId="0">CronogramaDeProjeto!$E1</definedName>
    <definedName name="Início_do_projeto">CronogramaDeProjeto!$E$3</definedName>
    <definedName name="progresso_da_tarefa" localSheetId="0">CronogramaDeProjeto!$D1</definedName>
    <definedName name="Semana_de_exibição">CronogramaDeProjeto!$E$4</definedName>
    <definedName name="término_da_tarefa" localSheetId="0">CronogramaDeProjeto!$F1</definedName>
    <definedName name="_xlnm.Print_Titles" localSheetId="0">CronogramaDeProjeto!$4:$6</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1" i="11" l="1"/>
  <c r="F17" i="11"/>
  <c r="F10" i="11"/>
  <c r="F9" i="11"/>
  <c r="E10" i="11"/>
  <c r="H7" i="11"/>
  <c r="E15" i="11" l="1"/>
  <c r="F15" i="11"/>
  <c r="E16" i="11" s="1"/>
  <c r="F16" i="11" s="1"/>
  <c r="E17" i="11" s="1"/>
  <c r="E21" i="11" s="1"/>
  <c r="E9" i="11"/>
  <c r="H22" i="11" l="1"/>
  <c r="I5" i="11"/>
  <c r="H33" i="11"/>
  <c r="H32" i="11"/>
  <c r="H31" i="11"/>
  <c r="H30" i="11"/>
  <c r="H29" i="11"/>
  <c r="H28" i="11"/>
  <c r="H26" i="11"/>
  <c r="H21" i="11"/>
  <c r="H20" i="11"/>
  <c r="H14" i="11"/>
  <c r="H8" i="11"/>
  <c r="H13" i="11" l="1"/>
  <c r="H9" i="11"/>
  <c r="I6" i="11"/>
  <c r="H11" i="11" l="1"/>
  <c r="H27" i="11"/>
  <c r="H25" i="11"/>
  <c r="H10" i="11"/>
  <c r="H23" i="11"/>
  <c r="H15" i="11"/>
  <c r="J5" i="11"/>
  <c r="K5" i="11" s="1"/>
  <c r="L5" i="11" s="1"/>
  <c r="M5" i="11" s="1"/>
  <c r="N5" i="11" s="1"/>
  <c r="O5" i="11" s="1"/>
  <c r="P5" i="11" s="1"/>
  <c r="I4" i="11"/>
  <c r="H12" i="11" l="1"/>
  <c r="H24" i="11"/>
  <c r="H16" i="11"/>
  <c r="P4" i="11"/>
  <c r="Q5" i="11"/>
  <c r="R5" i="11" s="1"/>
  <c r="S5" i="11" s="1"/>
  <c r="T5" i="11" s="1"/>
  <c r="U5" i="11" s="1"/>
  <c r="V5" i="11" s="1"/>
  <c r="W5" i="11" s="1"/>
  <c r="J6" i="11"/>
  <c r="H19" i="11" l="1"/>
  <c r="H18" i="11"/>
  <c r="H17"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<sst xmlns="http://schemas.openxmlformats.org/spreadsheetml/2006/main" count="61" uniqueCount="55">
  <si>
    <t>Crie um cronograma de projeto nesta planilha.
Digite o título desse projeto na célula B1. 
As informações sobre como usar esta planilha, incluindo instruções para leitores de tela e o autor desta pasta de trabalho, estão na planilha Sobre.
Continue navegando pela coluna A para saber mais.</t>
  </si>
  <si>
    <t>GRÁFICO DE GANTT SIMPLES por Vertex42.com</t>
  </si>
  <si>
    <t>Insira o Nome da empresa na célula B2.</t>
  </si>
  <si>
    <t>https://www.vertex42.com/ExcelTemplates/simple-gantt-chart.html</t>
  </si>
  <si>
    <t>Insira o nome do Líder do projeto na célula B3. Insira a data de Início do projeto na célula E3. Início do projeto: o rótulo está na célula C3.</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</si>
  <si>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</si>
  <si>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</si>
  <si>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</si>
  <si>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</si>
  <si>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</si>
  <si>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</si>
  <si>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</si>
  <si>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PROGRESSO</t>
  </si>
  <si>
    <t>INÍCIO</t>
  </si>
  <si>
    <t>TÉRMINO</t>
  </si>
  <si>
    <t>DIAS</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</si>
  <si>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</si>
  <si>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</si>
  <si>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</si>
  <si>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Tarefa 1</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</si>
  <si>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</si>
  <si>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Tarefa 2</t>
  </si>
  <si>
    <t>Tarefa 3</t>
  </si>
  <si>
    <t>Tarefa 4</t>
  </si>
  <si>
    <t>Tarefa 5</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</si>
  <si>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</si>
  <si>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Bloco de título de fase de exemplo</t>
  </si>
  <si>
    <t>Título Fase 4</t>
  </si>
  <si>
    <t>Esta é uma linha vazia</t>
  </si>
  <si>
    <t>Esta linha marca o final do Cronograma do projeto. NÃO insira nada nessa linha. 
Insira novas linhas ACIMA desta linha para continuar a construção do cronograma de projeto.</t>
  </si>
  <si>
    <t>Insira novas linhas ACIMA desta</t>
  </si>
  <si>
    <t>Sobre este modelo</t>
  </si>
  <si>
    <t>Este modelo proporciona uma maneira simples de criar um gráfico de Gantt para ajudar a visualizar e controlar seu projeto. Basta inserir suas tarefas e as datas de início e término, as fórmulas não são necessárias. As barras no gráfico de Gantt representam a duração da tarefa e são exibidas usando a formatação condicional. Para adicionar novas tarefas, insira novas linhas.</t>
  </si>
  <si>
    <t>Guia para leitores de tela</t>
  </si>
  <si>
    <t>Há duas planilhas nesta pasta de trabalho. 
FolhaDePonto
Sobre
As instruções para cada planilha estão na coluna A, começando na célula A1 de cada planilha. Elas foram escritas com texto oculto. Cada etapa orienta você pelas informações nessa linha. Cada etapa subsequente continua na célula A2, A3 e assim por diante, caso isso não seja orientado explicitamente. Por exemplo, o texto da instrução pode mostrar "continua na célula A6" para a próxima etapa. 
Esse texto oculto não será impresso.
Para remover essas instruções da planilha, basta excluir a coluna A.</t>
  </si>
  <si>
    <t>Ajuda adicional</t>
  </si>
  <si>
    <t>Clique no link abaixo para acessar o site vertex42.com e saiba mais sobre como usar esse modelo, como calcular os dias normais e dias úteis, criar as dependências entre tarefas, alterar as cores das barras, adicionar uma barra de rolagem para facilitar a alteração da semana de exibição, ampliar o intervalo de data exibido no gráfico, etc.</t>
  </si>
  <si>
    <t>Como usar um gráfico de Gantt simples</t>
  </si>
  <si>
    <t>Mais modelos de gerenciamento de projetos</t>
  </si>
  <si>
    <t>Acesse Vertex42.com para baixar outros modelos de gerenciamento de projetos, incluindo os diferentes tipos de cronogramas de projetos, gráficos de Gantt, listas de tarefas, etc.</t>
  </si>
  <si>
    <t>Modelos de gerenciamento de projetos</t>
  </si>
  <si>
    <t>Sobre o Vertex42</t>
  </si>
  <si>
    <t>O Vertex42.com oferece mais de 300 modelos profissionais de planilha para uso corporativo, doméstico e educacional, a maioria deles com download gratuito. O conjunto de modelos inclui vários calendários, planejadores e agendas, bem como planilhas de finanças pessoais para orçamento, redução de débito e amortização de empréstimo.</t>
  </si>
  <si>
    <t>As empresas encontrarão faturas, folhas de ponto, controladores de estoque, demonstrativos financeiros e modelos de planejamento de projetos. Professores e alunos encontrarão recursos como cronogramas de aula, planilhas de notas e planilhas de participação. Organize sua vida familiar com planejadores de refeições, listas de verificação e registros de exercícios. Cada modelo é completamente pesquisado, refinado e aprimorado ao longo do tempo com o feedback de milhares de usuários.</t>
  </si>
  <si>
    <t>Contadores binários de 4 bits</t>
  </si>
  <si>
    <t>Grupo 3</t>
  </si>
  <si>
    <t>Pesquisas iniciais sobre o tema</t>
  </si>
  <si>
    <t>Estudo de contadores binários</t>
  </si>
  <si>
    <t>Estudos prévios</t>
  </si>
  <si>
    <t>Projeto e desenvolvimento dos circuitos</t>
  </si>
  <si>
    <t>Projeto lógico dos circuitos</t>
  </si>
  <si>
    <t>Desenvolvimento dos circuitos via software</t>
  </si>
  <si>
    <t>Simulação e validação</t>
  </si>
  <si>
    <t>Implementação física</t>
  </si>
  <si>
    <t>Implementação física do projeto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</si>
</sst>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quot;R$&quot;\ * #,##0_-;\-&quot;R$&quot;\ * #,##0_-;_-&quot;R$&quot;\ * &quot;-&quot;_-;_-@_-"/>
    <numFmt numFmtId="44" formatCode="_-&quot;R$&quot;\ * #,##0.00_-;\-&quot;R$&quot;\ * #,##0.00_-;_-&quot;R$&quot;\ * &quot;-&quot;??_-;_-@_-"/>
    <numFmt numFmtId="164" formatCode="_(* #,##0_);_(* \(#,##0\);_(* &quot;-&quot;_);_(@_)"/>
    <numFmt numFmtId="165" formatCode="_(* #,##0.00_);_(* \(#,##0.00\);_(* &quot;-&quot;??_);_(@_)"/>
    <numFmt numFmtId="166" formatCode="d/m/yy;@"/>
    <numFmt numFmtId="167" formatCode="ddd\,\ dd/mm/yyyy"/>
    <numFmt numFmtId="168" formatCode="d"/>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7" fontId="9" fillId="0" borderId="3">
      <alignment horizontal="center" vertical="center"/>
    </xf>
    <xf numFmtId="166"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6" fontId="0" fillId="8" borderId="2" xfId="0" applyNumberFormat="1" applyFill="1" applyBorder="1" applyAlignment="1">
      <alignment horizontal="center" vertical="center"/>
    </xf>
    <xf numFmtId="166" fontId="5" fillId="8" borderId="2" xfId="0" applyNumberFormat="1" applyFont="1" applyFill="1" applyBorder="1" applyAlignment="1">
      <alignment horizontal="center" vertical="center"/>
    </xf>
    <xf numFmtId="166" fontId="9" fillId="3" borderId="2" xfId="10" applyFill="1">
      <alignment horizontal="center" vertical="center"/>
    </xf>
    <xf numFmtId="166" fontId="0" fillId="9" borderId="2" xfId="0" applyNumberFormat="1" applyFill="1" applyBorder="1" applyAlignment="1">
      <alignment horizontal="center" vertical="center"/>
    </xf>
    <xf numFmtId="166" fontId="5" fillId="9" borderId="2" xfId="0" applyNumberFormat="1" applyFont="1" applyFill="1" applyBorder="1" applyAlignment="1">
      <alignment horizontal="center" vertical="center"/>
    </xf>
    <xf numFmtId="166" fontId="9" fillId="4" borderId="2" xfId="10" applyFill="1">
      <alignment horizontal="center" vertical="center"/>
    </xf>
    <xf numFmtId="166" fontId="0" fillId="6" borderId="2" xfId="0" applyNumberFormat="1" applyFill="1" applyBorder="1" applyAlignment="1">
      <alignment horizontal="center" vertical="center"/>
    </xf>
    <xf numFmtId="166" fontId="5" fillId="6" borderId="2" xfId="0" applyNumberFormat="1" applyFont="1" applyFill="1" applyBorder="1" applyAlignment="1">
      <alignment horizontal="center" vertical="center"/>
    </xf>
    <xf numFmtId="166" fontId="9" fillId="11" borderId="2" xfId="10" applyFill="1">
      <alignment horizontal="center" vertical="center"/>
    </xf>
    <xf numFmtId="166" fontId="0" fillId="5" borderId="2" xfId="0" applyNumberFormat="1" applyFill="1" applyBorder="1" applyAlignment="1">
      <alignment horizontal="center" vertical="center"/>
    </xf>
    <xf numFmtId="166" fontId="5" fillId="5" borderId="2" xfId="0" applyNumberFormat="1" applyFont="1" applyFill="1" applyBorder="1" applyAlignment="1">
      <alignment horizontal="center" vertical="center"/>
    </xf>
    <xf numFmtId="166" fontId="9" fillId="10" borderId="2" xfId="10" applyFill="1">
      <alignment horizontal="center" vertical="center"/>
    </xf>
    <xf numFmtId="166" fontId="9" fillId="0" borderId="2" xfId="10">
      <alignment horizontal="center" vertical="center"/>
    </xf>
    <xf numFmtId="166" fontId="4" fillId="2" borderId="2" xfId="0" applyNumberFormat="1" applyFont="1" applyFill="1" applyBorder="1" applyAlignment="1">
      <alignment horizontal="left" vertical="center"/>
    </xf>
    <xf numFmtId="166" fontId="5" fillId="2" borderId="2" xfId="0" applyNumberFormat="1" applyFont="1" applyFill="1" applyBorder="1" applyAlignment="1">
      <alignment horizontal="center" vertical="center"/>
    </xf>
    <xf numFmtId="168" fontId="11" fillId="7" borderId="6" xfId="0" applyNumberFormat="1" applyFont="1" applyFill="1" applyBorder="1" applyAlignment="1">
      <alignment horizontal="center" vertical="center"/>
    </xf>
    <xf numFmtId="168" fontId="11" fillId="7" borderId="0" xfId="0" applyNumberFormat="1" applyFont="1" applyFill="1" applyAlignment="1">
      <alignment horizontal="center" vertical="center"/>
    </xf>
    <xf numFmtId="168" fontId="11" fillId="7" borderId="7" xfId="0" applyNumberFormat="1" applyFont="1" applyFill="1" applyBorder="1" applyAlignment="1">
      <alignment horizontal="center" vertical="center"/>
    </xf>
    <xf numFmtId="14" fontId="0" fillId="7" borderId="4" xfId="0" applyNumberFormat="1" applyFill="1" applyBorder="1" applyAlignment="1">
      <alignment horizontal="left" vertical="center" wrapText="1" indent="1"/>
    </xf>
    <xf numFmtId="14" fontId="0" fillId="7" borderId="1" xfId="0" applyNumberFormat="1" applyFill="1" applyBorder="1" applyAlignment="1">
      <alignment horizontal="left" vertical="center" wrapText="1" indent="1"/>
    </xf>
    <xf numFmtId="14" fontId="0" fillId="7" borderId="5" xfId="0" applyNumberFormat="1" applyFill="1" applyBorder="1" applyAlignment="1">
      <alignment horizontal="left" vertical="center" wrapText="1" indent="1"/>
    </xf>
    <xf numFmtId="167" fontId="9" fillId="0" borderId="3" xfId="9">
      <alignment horizontal="center" vertical="center"/>
    </xf>
    <xf numFmtId="0" fontId="9" fillId="0" borderId="0" xfId="8">
      <alignment horizontal="right" indent="1"/>
    </xf>
    <xf numFmtId="0" fontId="9" fillId="0" borderId="7" xfId="8" applyBorder="1">
      <alignment horizontal="right" indent="1"/>
    </xf>
  </cellXfs>
  <cellStyles count="54">
    <cellStyle name="20% - Ênfase1" xfId="31" builtinId="30" customBuiltin="1"/>
    <cellStyle name="20% - Ênfase2" xfId="35" builtinId="34" customBuiltin="1"/>
    <cellStyle name="20% - Ênfase3" xfId="39" builtinId="38" customBuiltin="1"/>
    <cellStyle name="20% - Ênfase4" xfId="43" builtinId="42" customBuiltin="1"/>
    <cellStyle name="20% - Ênfase5" xfId="47" builtinId="46" customBuiltin="1"/>
    <cellStyle name="20% - Ênfase6" xfId="51" builtinId="50" customBuiltin="1"/>
    <cellStyle name="40% - Ênfase1" xfId="32" builtinId="31" customBuiltin="1"/>
    <cellStyle name="40% - Ênfase2" xfId="36" builtinId="35" customBuiltin="1"/>
    <cellStyle name="40% - Ênfase3" xfId="40" builtinId="39" customBuiltin="1"/>
    <cellStyle name="40% - Ênfase4" xfId="44" builtinId="43" customBuiltin="1"/>
    <cellStyle name="40% - Ênfase5" xfId="48" builtinId="47" customBuiltin="1"/>
    <cellStyle name="40% - Ênfase6" xfId="52" builtinId="51" customBuiltin="1"/>
    <cellStyle name="60% - Ênfase1" xfId="33" builtinId="32" customBuiltin="1"/>
    <cellStyle name="60% - Ênfase2" xfId="37" builtinId="36" customBuiltin="1"/>
    <cellStyle name="60% - Ênfase3" xfId="41" builtinId="40" customBuiltin="1"/>
    <cellStyle name="60% - Ênfase4" xfId="45" builtinId="44" customBuiltin="1"/>
    <cellStyle name="60% - Ênfase5" xfId="49" builtinId="48" customBuiltin="1"/>
    <cellStyle name="60% - Ênfase6" xfId="53" builtinId="52" customBuiltin="1"/>
    <cellStyle name="Bom" xfId="18" builtinId="26" customBuiltin="1"/>
    <cellStyle name="Cálculo" xfId="23" builtinId="22" customBuiltin="1"/>
    <cellStyle name="Célula de Verificação" xfId="25" builtinId="23" customBuiltin="1"/>
    <cellStyle name="Célula Vinculada" xfId="24" builtinId="24" customBuiltin="1"/>
    <cellStyle name="Data" xfId="10" xr:uid="{229918B6-DD13-4F5A-97B9-305F7E002AA3}"/>
    <cellStyle name="Ênfase1" xfId="30" builtinId="29" customBuiltin="1"/>
    <cellStyle name="Ênfase2" xfId="34" builtinId="33" customBuiltin="1"/>
    <cellStyle name="Ênfase3" xfId="38" builtinId="37" customBuiltin="1"/>
    <cellStyle name="Ênfase4" xfId="42" builtinId="41" customBuiltin="1"/>
    <cellStyle name="Ênfase5" xfId="46" builtinId="45" customBuiltin="1"/>
    <cellStyle name="Ênfase6" xfId="50" builtinId="49" customBuiltin="1"/>
    <cellStyle name="Entrada" xfId="21" builtinId="20" customBuiltin="1"/>
    <cellStyle name="Hiperlink" xfId="1" builtinId="8" customBuiltin="1"/>
    <cellStyle name="Hiperlink Visitado" xfId="13" builtinId="9" customBuiltin="1"/>
    <cellStyle name="Início do Projeto" xfId="9" xr:uid="{8EB8A09A-C31C-40A3-B2C1-9449520178B8}"/>
    <cellStyle name="Moeda" xfId="15" builtinId="4" customBuiltin="1"/>
    <cellStyle name="Moeda [0]" xfId="16" builtinId="7" customBuiltin="1"/>
    <cellStyle name="Neutro" xfId="20" builtinId="28" customBuiltin="1"/>
    <cellStyle name="Nome" xfId="11" xr:uid="{B2D3C1EE-6B41-4801-AAFC-C2274E49E503}"/>
    <cellStyle name="Normal" xfId="0" builtinId="0" customBuiltin="1"/>
    <cellStyle name="Nota" xfId="27" builtinId="10" customBuiltin="1"/>
    <cellStyle name="Porcentagem" xfId="2" builtinId="5" customBuiltin="1"/>
    <cellStyle name="Ruim" xfId="19" builtinId="27" customBuiltin="1"/>
    <cellStyle name="Saída" xfId="22" builtinId="21" customBuiltin="1"/>
    <cellStyle name="Separador de milhares [0]" xfId="14" builtinId="6" customBuiltin="1"/>
    <cellStyle name="Tarefa" xfId="12" xr:uid="{6391D789-272B-4DD2-9BF3-2CDCF610FA41}"/>
    <cellStyle name="Texto de Aviso" xfId="26" builtinId="11" customBuiltin="1"/>
    <cellStyle name="Texto Explicativo" xfId="28" builtinId="53" customBuiltin="1"/>
    <cellStyle name="Título" xfId="5" builtinId="15" customBuiltin="1"/>
    <cellStyle name="Título 1" xfId="6" builtinId="16" customBuiltin="1"/>
    <cellStyle name="Título 2" xfId="7" builtinId="17" customBuiltin="1"/>
    <cellStyle name="Título 3" xfId="8" builtinId="18" customBuiltin="1"/>
    <cellStyle name="Título 4" xfId="17" builtinId="19" customBuiltin="1"/>
    <cellStyle name="Total" xfId="29" builtinId="25" customBuiltin="1"/>
    <cellStyle name="Vírgula" xfId="4" builtinId="3" customBuiltin="1"/>
    <cellStyle name="zTextoOculto" xfId="3" xr:uid="{26E66EE6-E33F-4D77-BAE4-0FB4F5BBF673}"/>
  </cellStyles>
  <dxfs count="12">
    <dxf>
      <fill>
        <patternFill>
          <bgColor rgb="FFCDC800"/>
        </patternFill>
      </fill>
      <border>
        <left/>
        <right/>
      </border>
    </dxf>
    <dxf>
      <fill>
        <patternFill>
          <bgColor rgb="FF354867"/>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DeTarefasPend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354867"/>
      <color rgb="FF8DB4E3"/>
      <color rgb="FFCDC800"/>
      <color rgb="FF215881"/>
      <color rgb="FF42648A"/>
      <color rgb="FF969696"/>
      <color rgb="FFC0C0C0"/>
      <color rgb="FF427FC2"/>
      <color rgb="FF44678E"/>
      <color rgb="FF4A6F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m 1" descr="Logotipo da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80" zoomScaleNormal="80" zoomScalePageLayoutView="70" workbookViewId="0">
      <pane ySplit="6" topLeftCell="A9" activePane="bottomLeft" state="frozen"/>
      <selection pane="bottomLeft" activeCell="N21" sqref="N21"/>
    </sheetView>
  </sheetViews>
  <sheetFormatPr defaultRowHeight="30" customHeight="1" x14ac:dyDescent="0.25"/>
  <cols>
    <col min="1" max="1" width="2.7109375" style="45" customWidth="1"/>
    <col min="2" max="2" width="21.85546875" customWidth="1"/>
    <col min="3" max="3" width="30.7109375" customWidth="1"/>
    <col min="4" max="4" width="10.7109375" customWidth="1"/>
    <col min="5" max="5" width="10.42578125" style="5" customWidth="1"/>
    <col min="6" max="6" width="10.42578125" customWidth="1"/>
    <col min="7" max="7" width="2.7109375" customWidth="1"/>
    <col min="8" max="8" width="6.140625" hidden="1" customWidth="1"/>
    <col min="9" max="64" width="2.5703125" customWidth="1"/>
    <col min="69" max="70" width="10.28515625"/>
  </cols>
  <sheetData>
    <row r="1" spans="1:64" ht="30" customHeight="1" x14ac:dyDescent="0.45">
      <c r="A1" s="46" t="s">
        <v>0</v>
      </c>
      <c r="B1" s="49" t="s">
        <v>44</v>
      </c>
      <c r="C1" s="1"/>
      <c r="D1" s="2"/>
      <c r="E1" s="4"/>
      <c r="F1" s="34"/>
      <c r="H1" s="2"/>
      <c r="I1" s="67"/>
    </row>
    <row r="2" spans="1:64" ht="30" customHeight="1" x14ac:dyDescent="0.3">
      <c r="A2" s="45" t="s">
        <v>2</v>
      </c>
      <c r="B2" s="50" t="s">
        <v>45</v>
      </c>
      <c r="I2" s="68"/>
    </row>
    <row r="3" spans="1:64" ht="30" customHeight="1" x14ac:dyDescent="0.25">
      <c r="A3" s="45" t="s">
        <v>4</v>
      </c>
      <c r="B3" s="51"/>
      <c r="C3" s="92" t="s">
        <v>5</v>
      </c>
      <c r="D3" s="93"/>
      <c r="E3" s="91">
        <v>46097</v>
      </c>
      <c r="F3" s="91"/>
    </row>
    <row r="4" spans="1:64" ht="30" customHeight="1" x14ac:dyDescent="0.25">
      <c r="A4" s="46" t="s">
        <v>6</v>
      </c>
      <c r="C4" s="92" t="s">
        <v>7</v>
      </c>
      <c r="D4" s="93"/>
      <c r="E4" s="7">
        <v>6</v>
      </c>
      <c r="I4" s="88">
        <f>I5</f>
        <v>46132</v>
      </c>
      <c r="J4" s="89"/>
      <c r="K4" s="89"/>
      <c r="L4" s="89"/>
      <c r="M4" s="89"/>
      <c r="N4" s="89"/>
      <c r="O4" s="90"/>
      <c r="P4" s="88">
        <f>P5</f>
        <v>46139</v>
      </c>
      <c r="Q4" s="89"/>
      <c r="R4" s="89"/>
      <c r="S4" s="89"/>
      <c r="T4" s="89"/>
      <c r="U4" s="89"/>
      <c r="V4" s="90"/>
      <c r="W4" s="88">
        <f>W5</f>
        <v>46146</v>
      </c>
      <c r="X4" s="89"/>
      <c r="Y4" s="89"/>
      <c r="Z4" s="89"/>
      <c r="AA4" s="89"/>
      <c r="AB4" s="89"/>
      <c r="AC4" s="90"/>
      <c r="AD4" s="88">
        <f>AD5</f>
        <v>46153</v>
      </c>
      <c r="AE4" s="89"/>
      <c r="AF4" s="89"/>
      <c r="AG4" s="89"/>
      <c r="AH4" s="89"/>
      <c r="AI4" s="89"/>
      <c r="AJ4" s="90"/>
      <c r="AK4" s="88">
        <f>AK5</f>
        <v>46160</v>
      </c>
      <c r="AL4" s="89"/>
      <c r="AM4" s="89"/>
      <c r="AN4" s="89"/>
      <c r="AO4" s="89"/>
      <c r="AP4" s="89"/>
      <c r="AQ4" s="90"/>
      <c r="AR4" s="88">
        <f>AR5</f>
        <v>46167</v>
      </c>
      <c r="AS4" s="89"/>
      <c r="AT4" s="89"/>
      <c r="AU4" s="89"/>
      <c r="AV4" s="89"/>
      <c r="AW4" s="89"/>
      <c r="AX4" s="90"/>
      <c r="AY4" s="88">
        <f>AY5</f>
        <v>46174</v>
      </c>
      <c r="AZ4" s="89"/>
      <c r="BA4" s="89"/>
      <c r="BB4" s="89"/>
      <c r="BC4" s="89"/>
      <c r="BD4" s="89"/>
      <c r="BE4" s="90"/>
      <c r="BF4" s="88">
        <f>BF5</f>
        <v>46181</v>
      </c>
      <c r="BG4" s="89"/>
      <c r="BH4" s="89"/>
      <c r="BI4" s="89"/>
      <c r="BJ4" s="89"/>
      <c r="BK4" s="89"/>
      <c r="BL4" s="90"/>
    </row>
    <row r="5" spans="1:64" ht="15" customHeight="1" x14ac:dyDescent="0.25">
      <c r="A5" s="46" t="s">
        <v>8</v>
      </c>
      <c r="B5" s="66"/>
      <c r="C5" s="66"/>
      <c r="D5" s="66"/>
      <c r="E5" s="66"/>
      <c r="F5" s="66"/>
      <c r="G5" s="66"/>
      <c r="I5" s="85">
        <f>Início_do_projeto-WEEKDAY(Início_do_projeto,1)+2+7*(Semana_de_exibição-1)</f>
        <v>46132</v>
      </c>
      <c r="J5" s="86">
        <f>I5+1</f>
        <v>46133</v>
      </c>
      <c r="K5" s="86">
        <f t="shared" ref="K5:AX5" si="0">J5+1</f>
        <v>46134</v>
      </c>
      <c r="L5" s="86">
        <f t="shared" si="0"/>
        <v>46135</v>
      </c>
      <c r="M5" s="86">
        <f t="shared" si="0"/>
        <v>46136</v>
      </c>
      <c r="N5" s="86">
        <f t="shared" si="0"/>
        <v>46137</v>
      </c>
      <c r="O5" s="87">
        <f t="shared" si="0"/>
        <v>46138</v>
      </c>
      <c r="P5" s="85">
        <f>O5+1</f>
        <v>46139</v>
      </c>
      <c r="Q5" s="86">
        <f>P5+1</f>
        <v>46140</v>
      </c>
      <c r="R5" s="86">
        <f t="shared" si="0"/>
        <v>46141</v>
      </c>
      <c r="S5" s="86">
        <f t="shared" si="0"/>
        <v>46142</v>
      </c>
      <c r="T5" s="86">
        <f t="shared" si="0"/>
        <v>46143</v>
      </c>
      <c r="U5" s="86">
        <f t="shared" si="0"/>
        <v>46144</v>
      </c>
      <c r="V5" s="87">
        <f t="shared" si="0"/>
        <v>46145</v>
      </c>
      <c r="W5" s="85">
        <f>V5+1</f>
        <v>46146</v>
      </c>
      <c r="X5" s="86">
        <f>W5+1</f>
        <v>46147</v>
      </c>
      <c r="Y5" s="86">
        <f t="shared" si="0"/>
        <v>46148</v>
      </c>
      <c r="Z5" s="86">
        <f t="shared" si="0"/>
        <v>46149</v>
      </c>
      <c r="AA5" s="86">
        <f t="shared" si="0"/>
        <v>46150</v>
      </c>
      <c r="AB5" s="86">
        <f t="shared" si="0"/>
        <v>46151</v>
      </c>
      <c r="AC5" s="87">
        <f t="shared" si="0"/>
        <v>46152</v>
      </c>
      <c r="AD5" s="85">
        <f>AC5+1</f>
        <v>46153</v>
      </c>
      <c r="AE5" s="86">
        <f>AD5+1</f>
        <v>46154</v>
      </c>
      <c r="AF5" s="86">
        <f t="shared" si="0"/>
        <v>46155</v>
      </c>
      <c r="AG5" s="86">
        <f t="shared" si="0"/>
        <v>46156</v>
      </c>
      <c r="AH5" s="86">
        <f t="shared" si="0"/>
        <v>46157</v>
      </c>
      <c r="AI5" s="86">
        <f t="shared" si="0"/>
        <v>46158</v>
      </c>
      <c r="AJ5" s="87">
        <f t="shared" si="0"/>
        <v>46159</v>
      </c>
      <c r="AK5" s="85">
        <f>AJ5+1</f>
        <v>46160</v>
      </c>
      <c r="AL5" s="86">
        <f>AK5+1</f>
        <v>46161</v>
      </c>
      <c r="AM5" s="86">
        <f t="shared" si="0"/>
        <v>46162</v>
      </c>
      <c r="AN5" s="86">
        <f t="shared" si="0"/>
        <v>46163</v>
      </c>
      <c r="AO5" s="86">
        <f t="shared" si="0"/>
        <v>46164</v>
      </c>
      <c r="AP5" s="86">
        <f t="shared" si="0"/>
        <v>46165</v>
      </c>
      <c r="AQ5" s="87">
        <f t="shared" si="0"/>
        <v>46166</v>
      </c>
      <c r="AR5" s="85">
        <f>AQ5+1</f>
        <v>46167</v>
      </c>
      <c r="AS5" s="86">
        <f>AR5+1</f>
        <v>46168</v>
      </c>
      <c r="AT5" s="86">
        <f t="shared" si="0"/>
        <v>46169</v>
      </c>
      <c r="AU5" s="86">
        <f t="shared" si="0"/>
        <v>46170</v>
      </c>
      <c r="AV5" s="86">
        <f t="shared" si="0"/>
        <v>46171</v>
      </c>
      <c r="AW5" s="86">
        <f t="shared" si="0"/>
        <v>46172</v>
      </c>
      <c r="AX5" s="87">
        <f t="shared" si="0"/>
        <v>46173</v>
      </c>
      <c r="AY5" s="85">
        <f>AX5+1</f>
        <v>46174</v>
      </c>
      <c r="AZ5" s="86">
        <f>AY5+1</f>
        <v>46175</v>
      </c>
      <c r="BA5" s="86">
        <f t="shared" ref="BA5:BE5" si="1">AZ5+1</f>
        <v>46176</v>
      </c>
      <c r="BB5" s="86">
        <f t="shared" si="1"/>
        <v>46177</v>
      </c>
      <c r="BC5" s="86">
        <f t="shared" si="1"/>
        <v>46178</v>
      </c>
      <c r="BD5" s="86">
        <f t="shared" si="1"/>
        <v>46179</v>
      </c>
      <c r="BE5" s="87">
        <f t="shared" si="1"/>
        <v>46180</v>
      </c>
      <c r="BF5" s="85">
        <f>BE5+1</f>
        <v>46181</v>
      </c>
      <c r="BG5" s="86">
        <f>BF5+1</f>
        <v>46182</v>
      </c>
      <c r="BH5" s="86">
        <f t="shared" ref="BH5:BL5" si="2">BG5+1</f>
        <v>46183</v>
      </c>
      <c r="BI5" s="86">
        <f t="shared" si="2"/>
        <v>46184</v>
      </c>
      <c r="BJ5" s="86">
        <f t="shared" si="2"/>
        <v>46185</v>
      </c>
      <c r="BK5" s="86">
        <f t="shared" si="2"/>
        <v>46186</v>
      </c>
      <c r="BL5" s="87">
        <f t="shared" si="2"/>
        <v>46187</v>
      </c>
    </row>
    <row r="6" spans="1:64" ht="30" customHeight="1" thickBot="1" x14ac:dyDescent="0.3">
      <c r="A6" s="46" t="s">
        <v>9</v>
      </c>
      <c r="B6" s="8" t="s">
        <v>10</v>
      </c>
      <c r="C6" s="9" t="s">
        <v>11</v>
      </c>
      <c r="D6" s="9" t="s">
        <v>12</v>
      </c>
      <c r="E6" s="9" t="s">
        <v>13</v>
      </c>
      <c r="F6" s="9" t="s">
        <v>14</v>
      </c>
      <c r="G6" s="9"/>
      <c r="H6" s="9" t="s">
        <v>15</v>
      </c>
      <c r="I6" s="10" t="str">
        <f t="shared" ref="I6" si="3">LEFT(TEXT(I5,"ddd"),1)</f>
        <v>s</v>
      </c>
      <c r="J6" s="10" t="str">
        <f t="shared" ref="J6:AR6" si="4">LEFT(TEXT(J5,"ddd"),1)</f>
        <v>t</v>
      </c>
      <c r="K6" s="10" t="str">
        <f t="shared" si="4"/>
        <v>q</v>
      </c>
      <c r="L6" s="10" t="str">
        <f t="shared" si="4"/>
        <v>q</v>
      </c>
      <c r="M6" s="10" t="str">
        <f t="shared" si="4"/>
        <v>s</v>
      </c>
      <c r="N6" s="10" t="str">
        <f t="shared" si="4"/>
        <v>s</v>
      </c>
      <c r="O6" s="10" t="str">
        <f t="shared" si="4"/>
        <v>d</v>
      </c>
      <c r="P6" s="10" t="str">
        <f t="shared" si="4"/>
        <v>s</v>
      </c>
      <c r="Q6" s="10" t="str">
        <f t="shared" si="4"/>
        <v>t</v>
      </c>
      <c r="R6" s="10" t="str">
        <f t="shared" si="4"/>
        <v>q</v>
      </c>
      <c r="S6" s="10" t="str">
        <f t="shared" si="4"/>
        <v>q</v>
      </c>
      <c r="T6" s="10" t="str">
        <f t="shared" si="4"/>
        <v>s</v>
      </c>
      <c r="U6" s="10" t="str">
        <f t="shared" si="4"/>
        <v>s</v>
      </c>
      <c r="V6" s="10" t="str">
        <f t="shared" si="4"/>
        <v>d</v>
      </c>
      <c r="W6" s="10" t="str">
        <f t="shared" si="4"/>
        <v>s</v>
      </c>
      <c r="X6" s="10" t="str">
        <f t="shared" si="4"/>
        <v>t</v>
      </c>
      <c r="Y6" s="10" t="str">
        <f t="shared" si="4"/>
        <v>q</v>
      </c>
      <c r="Z6" s="10" t="str">
        <f t="shared" si="4"/>
        <v>q</v>
      </c>
      <c r="AA6" s="10" t="str">
        <f t="shared" si="4"/>
        <v>s</v>
      </c>
      <c r="AB6" s="10" t="str">
        <f t="shared" si="4"/>
        <v>s</v>
      </c>
      <c r="AC6" s="10" t="str">
        <f t="shared" si="4"/>
        <v>d</v>
      </c>
      <c r="AD6" s="10" t="str">
        <f t="shared" si="4"/>
        <v>s</v>
      </c>
      <c r="AE6" s="10" t="str">
        <f t="shared" si="4"/>
        <v>t</v>
      </c>
      <c r="AF6" s="10" t="str">
        <f t="shared" si="4"/>
        <v>q</v>
      </c>
      <c r="AG6" s="10" t="str">
        <f t="shared" si="4"/>
        <v>q</v>
      </c>
      <c r="AH6" s="10" t="str">
        <f t="shared" si="4"/>
        <v>s</v>
      </c>
      <c r="AI6" s="10" t="str">
        <f t="shared" si="4"/>
        <v>s</v>
      </c>
      <c r="AJ6" s="10" t="str">
        <f t="shared" si="4"/>
        <v>d</v>
      </c>
      <c r="AK6" s="10" t="str">
        <f t="shared" si="4"/>
        <v>s</v>
      </c>
      <c r="AL6" s="10" t="str">
        <f t="shared" si="4"/>
        <v>t</v>
      </c>
      <c r="AM6" s="10" t="str">
        <f t="shared" si="4"/>
        <v>q</v>
      </c>
      <c r="AN6" s="10" t="str">
        <f t="shared" si="4"/>
        <v>q</v>
      </c>
      <c r="AO6" s="10" t="str">
        <f t="shared" si="4"/>
        <v>s</v>
      </c>
      <c r="AP6" s="10" t="str">
        <f t="shared" si="4"/>
        <v>s</v>
      </c>
      <c r="AQ6" s="10" t="str">
        <f t="shared" si="4"/>
        <v>d</v>
      </c>
      <c r="AR6" s="10" t="str">
        <f t="shared" si="4"/>
        <v>s</v>
      </c>
      <c r="AS6" s="10" t="str">
        <f t="shared" ref="AS6:BL6" si="5">LEFT(TEXT(AS5,"ddd"),1)</f>
        <v>t</v>
      </c>
      <c r="AT6" s="10" t="str">
        <f t="shared" si="5"/>
        <v>q</v>
      </c>
      <c r="AU6" s="10" t="str">
        <f t="shared" si="5"/>
        <v>q</v>
      </c>
      <c r="AV6" s="10" t="str">
        <f t="shared" si="5"/>
        <v>s</v>
      </c>
      <c r="AW6" s="10" t="str">
        <f t="shared" si="5"/>
        <v>s</v>
      </c>
      <c r="AX6" s="10" t="str">
        <f t="shared" si="5"/>
        <v>d</v>
      </c>
      <c r="AY6" s="10" t="str">
        <f t="shared" si="5"/>
        <v>s</v>
      </c>
      <c r="AZ6" s="10" t="str">
        <f t="shared" si="5"/>
        <v>t</v>
      </c>
      <c r="BA6" s="10" t="str">
        <f t="shared" si="5"/>
        <v>q</v>
      </c>
      <c r="BB6" s="10" t="str">
        <f t="shared" si="5"/>
        <v>q</v>
      </c>
      <c r="BC6" s="10" t="str">
        <f t="shared" si="5"/>
        <v>s</v>
      </c>
      <c r="BD6" s="10" t="str">
        <f t="shared" si="5"/>
        <v>s</v>
      </c>
      <c r="BE6" s="10" t="str">
        <f t="shared" si="5"/>
        <v>d</v>
      </c>
      <c r="BF6" s="10" t="str">
        <f t="shared" si="5"/>
        <v>s</v>
      </c>
      <c r="BG6" s="10" t="str">
        <f t="shared" si="5"/>
        <v>t</v>
      </c>
      <c r="BH6" s="10" t="str">
        <f t="shared" si="5"/>
        <v>q</v>
      </c>
      <c r="BI6" s="10" t="str">
        <f t="shared" si="5"/>
        <v>q</v>
      </c>
      <c r="BJ6" s="10" t="str">
        <f t="shared" si="5"/>
        <v>s</v>
      </c>
      <c r="BK6" s="10" t="str">
        <f t="shared" si="5"/>
        <v>s</v>
      </c>
      <c r="BL6" s="10" t="str">
        <f t="shared" si="5"/>
        <v>d</v>
      </c>
    </row>
    <row r="7" spans="1:64" ht="30" hidden="1" customHeight="1" thickBot="1" x14ac:dyDescent="0.3">
      <c r="A7" s="45" t="s">
        <v>16</v>
      </c>
      <c r="C7" s="48"/>
      <c r="E7"/>
      <c r="H7" t="str">
        <f>IF(OR(ISBLANK(início_da_tarefa),ISBLANK(término_da_tarefa)),"",término_da_tarefa-início_da_tarefa+1)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 customFormat="1" ht="30" hidden="1" customHeight="1" thickBot="1" x14ac:dyDescent="0.3">
      <c r="A8" s="46" t="s">
        <v>17</v>
      </c>
      <c r="B8" s="15" t="s">
        <v>48</v>
      </c>
      <c r="C8" s="52"/>
      <c r="D8" s="16"/>
      <c r="E8" s="70"/>
      <c r="F8" s="71"/>
      <c r="G8" s="14"/>
      <c r="H8" s="14" t="str">
        <f t="shared" ref="H8:H33" si="6">IF(OR(ISBLANK(início_da_tarefa),ISBLANK(término_da_tarefa)),"",término_da_tarefa-início_da_tarefa+1)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4" s="3" customFormat="1" ht="30" customHeight="1" thickBot="1" x14ac:dyDescent="0.3">
      <c r="A9" s="46" t="s">
        <v>18</v>
      </c>
      <c r="B9" s="61" t="s">
        <v>46</v>
      </c>
      <c r="C9" s="53"/>
      <c r="D9" s="17">
        <v>1</v>
      </c>
      <c r="E9" s="72">
        <f>Início_do_projeto</f>
        <v>46097</v>
      </c>
      <c r="F9" s="72">
        <f>E9+20</f>
        <v>46117</v>
      </c>
      <c r="G9" s="14"/>
      <c r="H9" s="14">
        <f t="shared" si="6"/>
        <v>21</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4" s="3" customFormat="1" ht="30" customHeight="1" thickBot="1" x14ac:dyDescent="0.3">
      <c r="A10" s="46" t="s">
        <v>20</v>
      </c>
      <c r="B10" s="61" t="s">
        <v>47</v>
      </c>
      <c r="C10" s="53"/>
      <c r="D10" s="17">
        <v>1</v>
      </c>
      <c r="E10" s="72">
        <f>F9+1</f>
        <v>46118</v>
      </c>
      <c r="F10" s="72">
        <f>E10+15</f>
        <v>46133</v>
      </c>
      <c r="G10" s="14"/>
      <c r="H10" s="14">
        <f t="shared" si="6"/>
        <v>16</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row>
    <row r="11" spans="1:64" s="3" customFormat="1" ht="30" hidden="1" customHeight="1" thickBot="1" x14ac:dyDescent="0.3">
      <c r="A11" s="45"/>
      <c r="B11" s="61" t="s">
        <v>22</v>
      </c>
      <c r="C11" s="53"/>
      <c r="D11" s="17"/>
      <c r="E11" s="72"/>
      <c r="F11" s="72"/>
      <c r="G11" s="14"/>
      <c r="H11" s="14">
        <f t="shared" si="6"/>
        <v>5</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4" s="3" customFormat="1" ht="30" hidden="1" customHeight="1" thickBot="1" x14ac:dyDescent="0.3">
      <c r="A12" s="45"/>
      <c r="B12" s="61" t="s">
        <v>23</v>
      </c>
      <c r="C12" s="53"/>
      <c r="D12" s="17"/>
      <c r="E12" s="72"/>
      <c r="F12" s="72"/>
      <c r="G12" s="14"/>
      <c r="H12" s="14">
        <f t="shared" si="6"/>
        <v>6</v>
      </c>
      <c r="I12" s="31"/>
      <c r="J12" s="31"/>
      <c r="K12" s="31"/>
      <c r="L12" s="31"/>
      <c r="M12" s="31"/>
      <c r="N12" s="31"/>
      <c r="O12" s="31"/>
      <c r="P12" s="31"/>
      <c r="Q12" s="31"/>
      <c r="R12" s="31"/>
      <c r="S12" s="31"/>
      <c r="T12" s="31"/>
      <c r="U12" s="31"/>
      <c r="V12" s="31"/>
      <c r="W12" s="31"/>
      <c r="X12" s="31"/>
      <c r="Y12" s="32"/>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4" s="3" customFormat="1" ht="30" hidden="1" customHeight="1" thickBot="1" x14ac:dyDescent="0.3">
      <c r="A13" s="45"/>
      <c r="B13" s="61" t="s">
        <v>24</v>
      </c>
      <c r="C13" s="53"/>
      <c r="D13" s="17"/>
      <c r="E13" s="72"/>
      <c r="F13" s="72"/>
      <c r="G13" s="14"/>
      <c r="H13" s="14">
        <f t="shared" si="6"/>
        <v>3</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4" s="3" customFormat="1" ht="30" hidden="1" customHeight="1" thickBot="1" x14ac:dyDescent="0.3">
      <c r="A14" s="46" t="s">
        <v>25</v>
      </c>
      <c r="B14" s="18" t="s">
        <v>49</v>
      </c>
      <c r="C14" s="54"/>
      <c r="D14" s="19"/>
      <c r="E14" s="73"/>
      <c r="F14" s="74"/>
      <c r="G14" s="14"/>
      <c r="H14" s="14" t="str">
        <f t="shared" si="6"/>
        <v/>
      </c>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4" s="3" customFormat="1" ht="30" customHeight="1" thickBot="1" x14ac:dyDescent="0.3">
      <c r="A15" s="46"/>
      <c r="B15" s="62" t="s">
        <v>50</v>
      </c>
      <c r="C15" s="55"/>
      <c r="D15" s="20">
        <v>1</v>
      </c>
      <c r="E15" s="75">
        <f>F10+1</f>
        <v>46134</v>
      </c>
      <c r="F15" s="75">
        <f>E15+10</f>
        <v>46144</v>
      </c>
      <c r="G15" s="14"/>
      <c r="H15" s="14">
        <f t="shared" si="6"/>
        <v>11</v>
      </c>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3" customFormat="1" ht="30" customHeight="1" thickBot="1" x14ac:dyDescent="0.3">
      <c r="A16" s="45"/>
      <c r="B16" s="62" t="s">
        <v>51</v>
      </c>
      <c r="C16" s="55"/>
      <c r="D16" s="20">
        <v>1</v>
      </c>
      <c r="E16" s="75">
        <f>F15+1</f>
        <v>46145</v>
      </c>
      <c r="F16" s="75">
        <f>E16+13</f>
        <v>46158</v>
      </c>
      <c r="G16" s="14"/>
      <c r="H16" s="14">
        <f t="shared" si="6"/>
        <v>14</v>
      </c>
      <c r="I16" s="31"/>
      <c r="J16" s="31"/>
      <c r="K16" s="31"/>
      <c r="L16" s="31"/>
      <c r="M16" s="31"/>
      <c r="N16" s="31"/>
      <c r="O16" s="31"/>
      <c r="P16" s="31"/>
      <c r="Q16" s="31"/>
      <c r="R16" s="31"/>
      <c r="S16" s="31"/>
      <c r="T16" s="31"/>
      <c r="U16" s="32"/>
      <c r="V16" s="32"/>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thickBot="1" x14ac:dyDescent="0.3">
      <c r="A17" s="45"/>
      <c r="B17" s="62" t="s">
        <v>52</v>
      </c>
      <c r="C17" s="55"/>
      <c r="D17" s="20">
        <v>1</v>
      </c>
      <c r="E17" s="75">
        <f>F16+1</f>
        <v>46159</v>
      </c>
      <c r="F17" s="75">
        <f>E17+15</f>
        <v>46174</v>
      </c>
      <c r="G17" s="14"/>
      <c r="H17" s="14">
        <f t="shared" si="6"/>
        <v>16</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hidden="1" customHeight="1" thickBot="1" x14ac:dyDescent="0.3">
      <c r="A18" s="45"/>
      <c r="B18" s="62" t="s">
        <v>23</v>
      </c>
      <c r="C18" s="55"/>
      <c r="D18" s="20"/>
      <c r="E18" s="75"/>
      <c r="F18" s="75"/>
      <c r="G18" s="14"/>
      <c r="H18" s="14" t="str">
        <f t="shared" si="6"/>
        <v/>
      </c>
      <c r="I18" s="31"/>
      <c r="J18" s="31"/>
      <c r="K18" s="31"/>
      <c r="L18" s="31"/>
      <c r="M18" s="31"/>
      <c r="N18" s="31"/>
      <c r="O18" s="31"/>
      <c r="P18" s="31"/>
      <c r="Q18" s="31"/>
      <c r="R18" s="31"/>
      <c r="S18" s="31"/>
      <c r="T18" s="31"/>
      <c r="U18" s="31"/>
      <c r="V18" s="31"/>
      <c r="W18" s="31"/>
      <c r="X18" s="31"/>
      <c r="Y18" s="32"/>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hidden="1" customHeight="1" thickBot="1" x14ac:dyDescent="0.3">
      <c r="A19" s="45"/>
      <c r="B19" s="62" t="s">
        <v>24</v>
      </c>
      <c r="C19" s="55"/>
      <c r="D19" s="20"/>
      <c r="E19" s="75"/>
      <c r="F19" s="75"/>
      <c r="G19" s="14"/>
      <c r="H19" s="14" t="str">
        <f t="shared" si="6"/>
        <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hidden="1" customHeight="1" thickBot="1" x14ac:dyDescent="0.3">
      <c r="A20" s="45" t="s">
        <v>26</v>
      </c>
      <c r="B20" s="21" t="s">
        <v>53</v>
      </c>
      <c r="C20" s="56"/>
      <c r="D20" s="22"/>
      <c r="E20" s="76"/>
      <c r="F20" s="77"/>
      <c r="G20" s="14"/>
      <c r="H20" s="14" t="str">
        <f t="shared" si="6"/>
        <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thickBot="1" x14ac:dyDescent="0.3">
      <c r="A21" s="45"/>
      <c r="B21" s="63" t="s">
        <v>54</v>
      </c>
      <c r="C21" s="57"/>
      <c r="D21" s="23">
        <v>0.5</v>
      </c>
      <c r="E21" s="78">
        <f>F17+1</f>
        <v>46175</v>
      </c>
      <c r="F21" s="78">
        <f>E21+10</f>
        <v>46185</v>
      </c>
      <c r="G21" s="14"/>
      <c r="H21" s="14">
        <f t="shared" si="6"/>
        <v>11</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thickBot="1" x14ac:dyDescent="0.3">
      <c r="A22" s="45"/>
      <c r="B22" s="63"/>
      <c r="C22" s="57"/>
      <c r="D22" s="23"/>
      <c r="E22" s="78"/>
      <c r="F22" s="78"/>
      <c r="G22" s="14"/>
      <c r="H22" s="14" t="str">
        <f t="shared" si="6"/>
        <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row>
    <row r="23" spans="1:64" s="3" customFormat="1" ht="30" customHeight="1" thickBot="1" x14ac:dyDescent="0.3">
      <c r="A23" s="45"/>
      <c r="B23" s="63"/>
      <c r="C23" s="57"/>
      <c r="D23" s="23"/>
      <c r="E23" s="78"/>
      <c r="F23" s="78"/>
      <c r="G23" s="14"/>
      <c r="H23" s="14" t="str">
        <f t="shared" si="6"/>
        <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row>
    <row r="24" spans="1:64" s="3" customFormat="1" ht="30" customHeight="1" thickBot="1" x14ac:dyDescent="0.3">
      <c r="A24" s="45"/>
      <c r="B24" s="63"/>
      <c r="C24" s="57"/>
      <c r="D24" s="23"/>
      <c r="E24" s="78"/>
      <c r="F24" s="78"/>
      <c r="G24" s="14"/>
      <c r="H24" s="14" t="str">
        <f t="shared" si="6"/>
        <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row>
    <row r="25" spans="1:64" s="3" customFormat="1" ht="30" customHeight="1" thickBot="1" x14ac:dyDescent="0.3">
      <c r="A25" s="45"/>
      <c r="B25" s="63"/>
      <c r="C25" s="57"/>
      <c r="D25" s="23"/>
      <c r="E25" s="78"/>
      <c r="F25" s="78"/>
      <c r="G25" s="14"/>
      <c r="H25" s="14" t="str">
        <f t="shared" si="6"/>
        <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row>
    <row r="26" spans="1:64" s="3" customFormat="1" ht="30" customHeight="1" thickBot="1" x14ac:dyDescent="0.3">
      <c r="A26" s="45" t="s">
        <v>26</v>
      </c>
      <c r="B26" s="24" t="s">
        <v>27</v>
      </c>
      <c r="C26" s="58"/>
      <c r="D26" s="25"/>
      <c r="E26" s="79"/>
      <c r="F26" s="80"/>
      <c r="G26" s="14"/>
      <c r="H26" s="14" t="str">
        <f t="shared" si="6"/>
        <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row>
    <row r="27" spans="1:64" s="3" customFormat="1" ht="30" customHeight="1" thickBot="1" x14ac:dyDescent="0.3">
      <c r="A27" s="45"/>
      <c r="B27" s="64" t="s">
        <v>19</v>
      </c>
      <c r="C27" s="59"/>
      <c r="D27" s="26"/>
      <c r="E27" s="81"/>
      <c r="F27" s="81"/>
      <c r="G27" s="14"/>
      <c r="H27" s="14" t="str">
        <f t="shared" si="6"/>
        <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row>
    <row r="28" spans="1:64" s="3" customFormat="1" ht="30" customHeight="1" thickBot="1" x14ac:dyDescent="0.3">
      <c r="A28" s="45"/>
      <c r="B28" s="64" t="s">
        <v>21</v>
      </c>
      <c r="C28" s="59"/>
      <c r="D28" s="26"/>
      <c r="E28" s="81"/>
      <c r="F28" s="81"/>
      <c r="G28" s="14"/>
      <c r="H28" s="14" t="str">
        <f t="shared" si="6"/>
        <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row>
    <row r="29" spans="1:64" s="3" customFormat="1" ht="30" customHeight="1" thickBot="1" x14ac:dyDescent="0.3">
      <c r="A29" s="45"/>
      <c r="B29" s="64" t="s">
        <v>22</v>
      </c>
      <c r="C29" s="59"/>
      <c r="D29" s="26"/>
      <c r="E29" s="81"/>
      <c r="F29" s="81"/>
      <c r="G29" s="14"/>
      <c r="H29" s="14" t="str">
        <f t="shared" si="6"/>
        <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s="3" customFormat="1" ht="30" customHeight="1" thickBot="1" x14ac:dyDescent="0.3">
      <c r="A30" s="45"/>
      <c r="B30" s="64" t="s">
        <v>23</v>
      </c>
      <c r="C30" s="59"/>
      <c r="D30" s="26"/>
      <c r="E30" s="81"/>
      <c r="F30" s="81"/>
      <c r="G30" s="14"/>
      <c r="H30" s="14" t="str">
        <f t="shared" si="6"/>
        <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row>
    <row r="31" spans="1:64" s="3" customFormat="1" ht="30" customHeight="1" thickBot="1" x14ac:dyDescent="0.3">
      <c r="A31" s="45"/>
      <c r="B31" s="64" t="s">
        <v>24</v>
      </c>
      <c r="C31" s="59"/>
      <c r="D31" s="26"/>
      <c r="E31" s="81"/>
      <c r="F31" s="81"/>
      <c r="G31" s="14"/>
      <c r="H31" s="14" t="str">
        <f t="shared" si="6"/>
        <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row>
    <row r="32" spans="1:64" s="3" customFormat="1" ht="30" customHeight="1" thickBot="1" x14ac:dyDescent="0.3">
      <c r="A32" s="45" t="s">
        <v>28</v>
      </c>
      <c r="B32" s="65"/>
      <c r="C32" s="60"/>
      <c r="D32" s="13"/>
      <c r="E32" s="82"/>
      <c r="F32" s="82"/>
      <c r="G32" s="14"/>
      <c r="H32" s="14" t="str">
        <f t="shared" si="6"/>
        <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row>
    <row r="33" spans="1:64" s="3" customFormat="1" ht="30" customHeight="1" thickBot="1" x14ac:dyDescent="0.3">
      <c r="A33" s="46" t="s">
        <v>29</v>
      </c>
      <c r="B33" s="27" t="s">
        <v>30</v>
      </c>
      <c r="C33" s="28"/>
      <c r="D33" s="29"/>
      <c r="E33" s="83"/>
      <c r="F33" s="84"/>
      <c r="G33" s="30"/>
      <c r="H33" s="30" t="str">
        <f t="shared" si="6"/>
        <v/>
      </c>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row>
    <row r="34" spans="1:64" ht="30" customHeight="1" x14ac:dyDescent="0.25">
      <c r="G34" s="6"/>
    </row>
    <row r="35" spans="1:64" ht="30" customHeight="1" x14ac:dyDescent="0.25">
      <c r="C35" s="11"/>
      <c r="F35" s="47"/>
    </row>
    <row r="36" spans="1:64" ht="30" customHeight="1" x14ac:dyDescent="0.25">
      <c r="C36" s="12"/>
    </row>
  </sheetData>
  <mergeCells count="11">
    <mergeCell ref="C3:D3"/>
    <mergeCell ref="C4:D4"/>
    <mergeCell ref="AK4:AQ4"/>
    <mergeCell ref="AR4:AX4"/>
    <mergeCell ref="AY4:BE4"/>
    <mergeCell ref="BF4:BL4"/>
    <mergeCell ref="E3:F3"/>
    <mergeCell ref="I4:O4"/>
    <mergeCell ref="P4:V4"/>
    <mergeCell ref="W4:AC4"/>
    <mergeCell ref="AD4:AJ4"/>
  </mergeCells>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3">
      <formula>AND(TODAY()&gt;=I$5,TODAY()&lt;J$5)</formula>
    </cfRule>
  </conditionalFormatting>
  <conditionalFormatting sqref="I7:BL33">
    <cfRule type="expression" dxfId="1" priority="27">
      <formula>AND(início_da_tarefa&lt;=I$5,ROUNDDOWN((término_da_tarefa-início_da_tarefa+1)*progresso_da_tarefa,0)+início_da_tarefa-1&gt;=I$5)</formula>
    </cfRule>
    <cfRule type="expression" dxfId="0" priority="28" stopIfTrue="1">
      <formula>AND(término_da_tarefa&gt;=I$5,início_da_tarefa&lt;J$5)</formula>
    </cfRule>
  </conditionalFormatting>
  <dataValidations count="1">
    <dataValidation type="whole" operator="greaterThanOrEqual" allowBlank="1" showInputMessage="1" promptTitle="Semana de exibição" prompt="Alterar esse número rola a exibição do Gráfico de Gantt." sqref="E4" xr:uid="{00000000-0002-0000-0000-000000000000}">
      <formula1>1</formula1>
    </dataValidation>
  </dataValidations>
  <printOptions horizontalCentered="1"/>
  <pageMargins left="0.35" right="0.35" top="0.35" bottom="0.5" header="0.3" footer="0.3"/>
  <pageSetup paperSize="9" scale="60" fitToHeight="0" orientation="landscape" r:id="rId1"/>
  <headerFooter differentFirst="1" scaleWithDoc="0">
    <oddFooter>Page &amp;P of &amp;N</oddFooter>
  </headerFooter>
  <ignoredErrors>
    <ignoredError sqref="F16"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4" zoomScaleNormal="100" workbookViewId="0"/>
  </sheetViews>
  <sheetFormatPr defaultColWidth="9.140625" defaultRowHeight="12.75" x14ac:dyDescent="0.2"/>
  <cols>
    <col min="1" max="1" width="93.140625" style="35" customWidth="1"/>
    <col min="2" max="16384" width="9.140625" style="2"/>
  </cols>
  <sheetData>
    <row r="1" spans="1:2" ht="46.5" customHeight="1" x14ac:dyDescent="0.2"/>
    <row r="2" spans="1:2" s="37" customFormat="1" ht="15.75" x14ac:dyDescent="0.25">
      <c r="A2" s="36" t="s">
        <v>1</v>
      </c>
      <c r="B2" s="36"/>
    </row>
    <row r="3" spans="1:2" s="41" customFormat="1" ht="27" customHeight="1" x14ac:dyDescent="0.25">
      <c r="A3" s="69" t="s">
        <v>3</v>
      </c>
      <c r="B3" s="42"/>
    </row>
    <row r="4" spans="1:2" s="38" customFormat="1" ht="26.25" x14ac:dyDescent="0.4">
      <c r="A4" s="39" t="s">
        <v>31</v>
      </c>
    </row>
    <row r="5" spans="1:2" ht="74.099999999999994" customHeight="1" x14ac:dyDescent="0.2">
      <c r="A5" s="40" t="s">
        <v>32</v>
      </c>
    </row>
    <row r="6" spans="1:2" ht="26.25" customHeight="1" x14ac:dyDescent="0.2">
      <c r="A6" s="39" t="s">
        <v>33</v>
      </c>
    </row>
    <row r="7" spans="1:2" s="35" customFormat="1" ht="204.95" customHeight="1" x14ac:dyDescent="0.25">
      <c r="A7" s="44" t="s">
        <v>34</v>
      </c>
    </row>
    <row r="8" spans="1:2" s="38" customFormat="1" ht="26.25" x14ac:dyDescent="0.4">
      <c r="A8" s="39" t="s">
        <v>35</v>
      </c>
    </row>
    <row r="9" spans="1:2" ht="60" x14ac:dyDescent="0.2">
      <c r="A9" s="40" t="s">
        <v>36</v>
      </c>
    </row>
    <row r="10" spans="1:2" s="35" customFormat="1" ht="27.95" customHeight="1" x14ac:dyDescent="0.25">
      <c r="A10" s="43" t="s">
        <v>37</v>
      </c>
    </row>
    <row r="11" spans="1:2" s="38" customFormat="1" ht="26.25" x14ac:dyDescent="0.4">
      <c r="A11" s="39" t="s">
        <v>38</v>
      </c>
    </row>
    <row r="12" spans="1:2" ht="30" x14ac:dyDescent="0.2">
      <c r="A12" s="40" t="s">
        <v>39</v>
      </c>
    </row>
    <row r="13" spans="1:2" s="35" customFormat="1" ht="27.95" customHeight="1" x14ac:dyDescent="0.25">
      <c r="A13" s="43" t="s">
        <v>40</v>
      </c>
    </row>
    <row r="14" spans="1:2" s="38" customFormat="1" ht="26.25" x14ac:dyDescent="0.4">
      <c r="A14" s="39" t="s">
        <v>41</v>
      </c>
    </row>
    <row r="15" spans="1:2" ht="75" customHeight="1" x14ac:dyDescent="0.2">
      <c r="A15" s="40" t="s">
        <v>42</v>
      </c>
    </row>
    <row r="16" spans="1:2" ht="90" x14ac:dyDescent="0.2">
      <c r="A16" s="40" t="s">
        <v>43</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E8ED85-58B3-4608-8E91-0433556D50CE}">
  <ds:schemaRefs>
    <ds:schemaRef ds:uri="http://schemas.microsoft.com/sharepoint/v3/contenttype/forms"/>
  </ds:schemaRefs>
</ds:datastoreItem>
</file>

<file path=customXml/itemProps3.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Planilhas</vt:lpstr>
      </vt:variant>
      <vt:variant>
        <vt:i4>2</vt:i4>
      </vt:variant>
      <vt:variant>
        <vt:lpstr>Intervalos Nomeados</vt:lpstr>
      </vt:variant>
      <vt:variant>
        <vt:i4>6</vt:i4>
      </vt:variant>
    </vt:vector>
  </HeadingPairs>
  <TitlesOfParts>
    <vt:vector size="8" baseType="lpstr">
      <vt:lpstr>CronogramaDeProjeto</vt:lpstr>
      <vt:lpstr>Sobre</vt:lpstr>
      <vt:lpstr>CronogramaDeProjeto!início_da_tarefa</vt:lpstr>
      <vt:lpstr>Início_do_projeto</vt:lpstr>
      <vt:lpstr>CronogramaDeProjeto!progresso_da_tarefa</vt:lpstr>
      <vt:lpstr>Semana_de_exibição</vt:lpstr>
      <vt:lpstr>CronogramaDeProjeto!término_da_tarefa</vt:lpstr>
      <vt:lpstr>CronogramaDeProjeto!Titulos_de_impressao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2021-12-14T20:18:50Z</dcterms:created>
  <dcterms:modified xsi:type="dcterms:W3CDTF">2026-06-03T21:41:00Z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